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/>
  </bookViews>
  <sheets>
    <sheet name="Sheet1" sheetId="1" r:id="rId1"/>
  </sheets>
  <calcPr calcId="144525"/>
</workbook>
</file>

<file path=xl/sharedStrings.xml><?xml version="1.0" encoding="utf-8"?>
<sst xmlns="http://schemas.openxmlformats.org/spreadsheetml/2006/main" count="107">
  <si>
    <t>OUTPUT</t>
  </si>
  <si>
    <t>Type</t>
  </si>
  <si>
    <t>Num</t>
  </si>
  <si>
    <t>Tag</t>
  </si>
  <si>
    <t>Log</t>
  </si>
  <si>
    <t>Cmd_expect</t>
  </si>
  <si>
    <t>Cmd_key</t>
  </si>
  <si>
    <t>Expect</t>
  </si>
  <si>
    <t>Key</t>
  </si>
  <si>
    <t>Template</t>
  </si>
  <si>
    <t xml:space="preserve">FF 80 F1 FE 01 FE 01 FE 01 FE 01 50 03 91 C0 00 00 00 14 5B A3 58 57 00 01 41 83 29 20 1A 00 2B 01 6A FF </t>
  </si>
  <si>
    <t>F0</t>
  </si>
  <si>
    <t>天线初始化</t>
  </si>
  <si>
    <t>FF ?? F0 *</t>
  </si>
  <si>
    <t>Input</t>
  </si>
  <si>
    <t xml:space="preserve">FF 18 E1 00 12 77 10 60 C0 03 91 D0 00 01 C1 01 20 27 BC EC B2 E2 00 01 00 01 01 41 00 00 00 00 00 00 00 00 20 16 01 26 20 99 12 31 28 CC EC BD F2 00 00 00 01 16 41 11 01 11 22 33 44 55 66 77 88 20 17 01 01 20 99 12 31 BE A9 41 31 32 33 34 35 00 00 00 00 00 00 01 12 77 10 60 10 22 10 16 FF </t>
  </si>
  <si>
    <t>E0</t>
  </si>
  <si>
    <t>天线初始化返回</t>
  </si>
  <si>
    <t>FF ?? E0 *</t>
  </si>
  <si>
    <t xml:space="preserve">FF 80 F9 02 01 05 00 84 00 00 08 F3 FF </t>
  </si>
  <si>
    <t>F8</t>
  </si>
  <si>
    <t>PSAM复位</t>
  </si>
  <si>
    <t>FF ?? F8 *</t>
  </si>
  <si>
    <t xml:space="preserve">FF 38 E9 00 01 0A B7 A9 0F AB 0F F4 B6 AE 90 00 13 FF </t>
  </si>
  <si>
    <t>E8</t>
  </si>
  <si>
    <t>PSAM复位返回</t>
  </si>
  <si>
    <t xml:space="preserve">FF 80 F2 12 77 10 60 40 F7 91 05 01 00 14 80 01 00 00 10 B7 A9 0F AB 0F F4 B6 AE 00 00 99 FF </t>
  </si>
  <si>
    <t>F9</t>
  </si>
  <si>
    <t>读取PSAM终端编号</t>
  </si>
  <si>
    <t>FF ?? F9 ?? ?? 07 * 05 * 07 *</t>
  </si>
  <si>
    <t xml:space="preserve">FF 28 E2 00 12 77 10 60 E0 F7 00 91 18 01 15 01 9D 1C A0 2C B8 38 B1 62 A8 1B 64 0D D9 22 90 BC D4 65 AD 08 D8 29 53 3E 8F E2 D1 81 16 63 52 06 00 00 00 00 00 00 00 00 00 93 FF </t>
  </si>
  <si>
    <t>E9</t>
  </si>
  <si>
    <t>读取PSAM终端编号返回</t>
  </si>
  <si>
    <t>FF ?? E9 * 30 * 8 * 2D *</t>
  </si>
  <si>
    <t xml:space="preserve">FF 80 F9 02 01 15 80 1A 59 03 10 00 00 00 00 00 00 00 00 BC EC B2 E2 BC EC B2 E2 BF FF </t>
  </si>
  <si>
    <t>F1</t>
  </si>
  <si>
    <t>BST</t>
  </si>
  <si>
    <t>FF ?? F1 *</t>
  </si>
  <si>
    <t xml:space="preserve">FF 38 E9 00 01 02 90 00 42 FF </t>
  </si>
  <si>
    <t>E1</t>
  </si>
  <si>
    <t>VST</t>
  </si>
  <si>
    <t>FF ?? E1 *</t>
  </si>
  <si>
    <t xml:space="preserve">FF 80 F9 02 01 25 80 FA 80 00 20 9D 1C A0 2C B8 38 B1 62 A8 1B 64 0D D9 22 90 BC D4 65 AD 08 D8 29 53 3E 8F E2 D1 81 16 63 52 06 42 FF </t>
  </si>
  <si>
    <t>F2</t>
  </si>
  <si>
    <t>读取OBU车辆信息</t>
  </si>
  <si>
    <t>*91 05 01 00 14 80 01 00*</t>
  </si>
  <si>
    <t xml:space="preserve">FF 38 E9 00 01 22 18 53 D6 4C 68 F4 0F 01 A6 BE A9 41 31 32 33 34 35 00 00 00 00 00 00 01 01 80 00 00 00 00 00 00 90 00 60 FF </t>
  </si>
  <si>
    <t>E2</t>
  </si>
  <si>
    <t>读取OBU车辆信息返回</t>
  </si>
  <si>
    <t>*00 91 18 01 15*</t>
  </si>
  <si>
    <t>解密车辆信息 15 25</t>
  </si>
  <si>
    <t>FF ?? F9 ?? ?? 15 * 25 80 *</t>
  </si>
  <si>
    <t>解密车辆信息 15</t>
  </si>
  <si>
    <t>FF ?? F9 ?? ?? 15 *</t>
  </si>
  <si>
    <t xml:space="preserve">FF 80 F9 02 01 1D 80 FA 08 00 18 B7 A9 0F AB 0F F4 B6 AE BE A9 41 31 32 33 34 35 00 00 00 00 00 00 01 01 33 FF </t>
  </si>
  <si>
    <t>解密车辆信息 25</t>
  </si>
  <si>
    <t>FF ?? F9 * 25 80 *</t>
  </si>
  <si>
    <t xml:space="preserve">FF 38 E9 00 01 0A 53 D6 4C 68 F4 0F 01 A6 90 00 B7 FF </t>
  </si>
  <si>
    <t>解密车辆信息返回</t>
  </si>
  <si>
    <t>FF ?? E9 ?? ?? ?? 90 00 *</t>
  </si>
  <si>
    <t xml:space="preserve">FF 80 F2 12 77 10 60 40 77 91 05 01 03 18 01 02 05 00 B2 01 CC 2B 05 80 5C 00 02 04 53 FF </t>
  </si>
  <si>
    <t>读取复合消费文件</t>
  </si>
  <si>
    <t>*91 05 01 03 18 01 02 05 * 80 5C 00 02 04 *</t>
  </si>
  <si>
    <t xml:space="preserve">FF 28 E2 00 12 77 10 60 E0 77 00 91 18 01 19 01 02 2D AA 29 00 AA 29 00 00 00 00 00 00 00 00 00 00 00 00 00 00 00 00 00 00 00 00 00 00 00 00 00 00 00 00 00 00 00 00 00 00 00 00 00 00 90 00 06 00 CC CC B1 90 00 00 40 FF </t>
  </si>
  <si>
    <t>读取复合消费文件返回</t>
  </si>
  <si>
    <t>*00 91 18 01 19 01 02 2D *</t>
  </si>
  <si>
    <t xml:space="preserve">FF 80 F2 12 77 10 60 40 77 91 05 01 03 18 01 03 10 80 50 03 02 0B 01 00 00 00 00 01 42 00 00 00 01 30 80 DC AA C8 2B AA 29 00 00 00 00 00 00 00 00 00 00 00 00 00 00 00 00 00 00 00 00 00 00 00 00 00 00 00 00 00 00 00 00 00 00 00 00 00 00 00 00 00 05 80 5C 00 02 04 2C FF </t>
  </si>
  <si>
    <t>消费初始化</t>
  </si>
  <si>
    <t>*40 ?? 91 05 01 03 18 01*</t>
  </si>
  <si>
    <t xml:space="preserve">FF 28 E2 00 12 77 10 60 E0 F7 00 91 18 01 19 01 03 11 00 CC CC B1 87 AF 00 00 00 01 00 B5 95 70 4D 90 00 02 90 00 06 00 CC CC B1 90 00 00 EA FF </t>
  </si>
  <si>
    <t>消费初始化返回</t>
  </si>
  <si>
    <t>*00 91 18 01 19 01 ?? 11 *</t>
  </si>
  <si>
    <t xml:space="preserve">FF 80 F9 02 01 29 80 70 00 00 24 B5 95 70 4D 87 AF 00 00 00 00 09 20 18 09 20 16 20 39 01 00 11 22 33 44 55 66 77 88 CC EC BD F2 CC EC BD F2 2C FF </t>
  </si>
  <si>
    <t>消费计算MAC</t>
  </si>
  <si>
    <t>FF ?? F9 *</t>
  </si>
  <si>
    <t xml:space="preserve">FF 38 E9 00 01 0A 00 00 09 98 E2 0E C2 B6 90 00 43 FF </t>
  </si>
  <si>
    <t>消费计算MAC返回</t>
  </si>
  <si>
    <t>FF ?? E9 *</t>
  </si>
  <si>
    <t xml:space="preserve">FF 80 F2 12 77 10 60 40 77 91 05 01 03 18 01 02 14 80 54 01 00 0F 00 00 09 98 20 18 09 20 16 20 39 E2 0E C2 B6 05 80 5C 00 02 04 DB FF </t>
  </si>
  <si>
    <t>消费确认</t>
  </si>
  <si>
    <t xml:space="preserve">FF 28 E2 00 12 77 10 60 E0 77 00 91 18 01 19 01 02 0A 59 E3 9E 73 A5 C1 AC 63 90 00 06 00 CC CC B1 90 00 00 9B FF </t>
  </si>
  <si>
    <t>消费确认返回</t>
  </si>
  <si>
    <t>*E0 ?? 00 91 18 01 19 01*</t>
  </si>
  <si>
    <t xml:space="preserve">FF 80 F2 12 77 10 60 40 77 91 05 01 04 1A 00 DB FF </t>
  </si>
  <si>
    <t>PSAM验证MAC2</t>
  </si>
  <si>
    <t xml:space="preserve">FF 28 E2 00 12 77 10 60 E0 F7 00 91 18 01 1B 00 5B FF </t>
  </si>
  <si>
    <t>PSAM验证MAC2返回</t>
  </si>
  <si>
    <t>*00 01 02 90 00*</t>
  </si>
  <si>
    <t xml:space="preserve">FF 80 F2 12 77 10 60 40 03 91 60 01 00 D4 FF FF 80 F9 02 01 09 80 72 00 00 04 A5 C1 AC 63 2E FF </t>
  </si>
  <si>
    <t>OBU声光控制</t>
  </si>
  <si>
    <t>*40 ?? 91 05 01 04 1A 00*</t>
  </si>
  <si>
    <t>OBU声光控制返回</t>
  </si>
  <si>
    <t>*00 * E0 ?? 00 91 18 01 1B 00*</t>
  </si>
  <si>
    <t>OBU标签休眠</t>
  </si>
  <si>
    <t>*40 03 91 60*</t>
  </si>
  <si>
    <t>TAC</t>
  </si>
  <si>
    <t>*40 ?? 91 05 01 03 18 01 * 91 05 01 04 1A 00*</t>
  </si>
  <si>
    <t>TAC返回</t>
  </si>
  <si>
    <t>FF ?? E2 *</t>
  </si>
  <si>
    <t>D0</t>
  </si>
  <si>
    <t>定位</t>
  </si>
  <si>
    <t>FF ?? D0 *</t>
  </si>
  <si>
    <t>4C</t>
  </si>
  <si>
    <t>切换交易区域</t>
  </si>
  <si>
    <t>FF ?? 4C *</t>
  </si>
  <si>
    <t>心跳</t>
  </si>
  <si>
    <t>交易中断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</si>
</sst>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</numFmts>
  <fonts count="23"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theme="0" tint="-0.5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1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11" fillId="11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5" borderId="4" applyNumberFormat="0" applyFont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9" fillId="22" borderId="6" applyNumberFormat="0" applyAlignment="0" applyProtection="0">
      <alignment vertical="center"/>
    </xf>
    <xf numFmtId="0" fontId="20" fillId="22" borderId="2" applyNumberFormat="0" applyAlignment="0" applyProtection="0">
      <alignment vertical="center"/>
    </xf>
    <xf numFmtId="0" fontId="21" fillId="31" borderId="7" applyNumberFormat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Fo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34"/>
  <sheetViews>
    <sheetView tabSelected="1" workbookViewId="0">
      <selection activeCell="E19" sqref="E19"/>
    </sheetView>
  </sheetViews>
  <sheetFormatPr defaultColWidth="9" defaultRowHeight="13.5"/>
  <cols>
    <col min="1" max="1" width="8.575" customWidth="1"/>
    <col min="3" max="3" width="8.25" customWidth="1"/>
    <col min="4" max="4" width="4.03333333333333" customWidth="1"/>
    <col min="5" max="5" width="19.8916666666667" customWidth="1"/>
    <col min="6" max="6" width="103.65" customWidth="1"/>
    <col min="7" max="8" width="5.08333333333333" customWidth="1"/>
    <col min="9" max="9" width="8.74166666666667" customWidth="1"/>
    <col min="10" max="10" width="18.8416666666667" customWidth="1"/>
    <col min="11" max="11" width="12.25" customWidth="1"/>
  </cols>
  <sheetData>
    <row r="1" spans="1:11">
      <c r="A1" s="1" t="s">
        <v>0</v>
      </c>
      <c r="C1" s="1" t="s">
        <v>1</v>
      </c>
      <c r="D1" s="1" t="s">
        <v>2</v>
      </c>
      <c r="E1" s="1" t="s">
        <v>3</v>
      </c>
      <c r="F1" s="2" t="s">
        <v>4</v>
      </c>
      <c r="H1" s="3" t="s">
        <v>5</v>
      </c>
      <c r="I1" s="3" t="s">
        <v>6</v>
      </c>
      <c r="J1" s="3" t="s">
        <v>7</v>
      </c>
      <c r="K1" s="3" t="s">
        <v>8</v>
      </c>
    </row>
    <row r="2" spans="1:11">
      <c r="A2" s="3" t="s">
        <v>9</v>
      </c>
      <c r="F2" t="s">
        <v>10</v>
      </c>
      <c r="G2" s="4">
        <v>2</v>
      </c>
      <c r="H2" t="s">
        <v>11</v>
      </c>
      <c r="I2" t="str">
        <f t="shared" ref="I2:I34" si="0">"FF ?? "&amp;H2&amp;" *"</f>
        <v>FF ?? F0 *</v>
      </c>
      <c r="J2" t="s">
        <v>12</v>
      </c>
      <c r="K2" t="s">
        <v>13</v>
      </c>
    </row>
    <row r="3" spans="1:11">
      <c r="A3" s="2" t="s">
        <v>14</v>
      </c>
      <c r="F3" t="s">
        <v>15</v>
      </c>
      <c r="G3" s="4">
        <v>3</v>
      </c>
      <c r="H3" t="s">
        <v>16</v>
      </c>
      <c r="I3" t="str">
        <f t="shared" si="0"/>
        <v>FF ?? E0 *</v>
      </c>
      <c r="J3" t="s">
        <v>17</v>
      </c>
      <c r="K3" t="s">
        <v>18</v>
      </c>
    </row>
    <row r="4" spans="6:11">
      <c r="F4" t="s">
        <v>19</v>
      </c>
      <c r="G4" s="4">
        <v>4</v>
      </c>
      <c r="H4" t="s">
        <v>20</v>
      </c>
      <c r="I4" t="str">
        <f t="shared" si="0"/>
        <v>FF ?? F8 *</v>
      </c>
      <c r="J4" t="s">
        <v>21</v>
      </c>
      <c r="K4" t="s">
        <v>22</v>
      </c>
    </row>
    <row r="5" spans="6:11">
      <c r="F5" t="s">
        <v>23</v>
      </c>
      <c r="G5" s="4">
        <v>5</v>
      </c>
      <c r="H5" t="s">
        <v>24</v>
      </c>
      <c r="I5" t="str">
        <f t="shared" si="0"/>
        <v>FF ?? E8 *</v>
      </c>
      <c r="J5" t="s">
        <v>25</v>
      </c>
      <c r="K5" t="s">
        <v>22</v>
      </c>
    </row>
    <row r="6" spans="6:11">
      <c r="F6" t="s">
        <v>26</v>
      </c>
      <c r="G6" s="4">
        <v>6</v>
      </c>
      <c r="H6" s="5" t="s">
        <v>27</v>
      </c>
      <c r="I6" t="str">
        <f t="shared" si="0"/>
        <v>FF ?? F9 *</v>
      </c>
      <c r="J6" s="5" t="s">
        <v>28</v>
      </c>
      <c r="K6" s="5" t="s">
        <v>29</v>
      </c>
    </row>
    <row r="7" spans="6:11">
      <c r="F7" t="s">
        <v>30</v>
      </c>
      <c r="G7" s="4">
        <v>7</v>
      </c>
      <c r="H7" s="5" t="s">
        <v>31</v>
      </c>
      <c r="I7" t="str">
        <f t="shared" si="0"/>
        <v>FF ?? E9 *</v>
      </c>
      <c r="J7" s="5" t="s">
        <v>32</v>
      </c>
      <c r="K7" s="5" t="s">
        <v>33</v>
      </c>
    </row>
    <row r="8" spans="3:11">
      <c r="C8" s="5"/>
      <c r="D8" s="5"/>
      <c r="E8" s="5"/>
      <c r="F8" t="s">
        <v>34</v>
      </c>
      <c r="G8" s="4">
        <v>8</v>
      </c>
      <c r="H8" t="s">
        <v>35</v>
      </c>
      <c r="I8" t="str">
        <f t="shared" si="0"/>
        <v>FF ?? F1 *</v>
      </c>
      <c r="J8" t="s">
        <v>36</v>
      </c>
      <c r="K8" t="s">
        <v>37</v>
      </c>
    </row>
    <row r="9" spans="3:11">
      <c r="C9" s="5"/>
      <c r="D9" s="5"/>
      <c r="E9" s="5"/>
      <c r="F9" t="s">
        <v>38</v>
      </c>
      <c r="G9" s="4">
        <v>9</v>
      </c>
      <c r="H9" t="s">
        <v>39</v>
      </c>
      <c r="I9" t="str">
        <f t="shared" si="0"/>
        <v>FF ?? E1 *</v>
      </c>
      <c r="J9" t="s">
        <v>40</v>
      </c>
      <c r="K9" t="s">
        <v>41</v>
      </c>
    </row>
    <row r="10" spans="6:11">
      <c r="F10" t="s">
        <v>42</v>
      </c>
      <c r="G10" s="4">
        <v>10</v>
      </c>
      <c r="H10" t="s">
        <v>43</v>
      </c>
      <c r="I10" t="str">
        <f t="shared" si="0"/>
        <v>FF ?? F2 *</v>
      </c>
      <c r="J10" t="s">
        <v>44</v>
      </c>
      <c r="K10" t="s">
        <v>45</v>
      </c>
    </row>
    <row r="11" spans="6:11">
      <c r="F11" t="s">
        <v>46</v>
      </c>
      <c r="G11" s="4">
        <v>11</v>
      </c>
      <c r="H11" t="s">
        <v>47</v>
      </c>
      <c r="I11" t="str">
        <f t="shared" si="0"/>
        <v>FF ?? E2 *</v>
      </c>
      <c r="J11" t="s">
        <v>48</v>
      </c>
      <c r="K11" t="s">
        <v>49</v>
      </c>
    </row>
    <row r="12" spans="6:11">
      <c r="F12" t="s">
        <v>34</v>
      </c>
      <c r="G12" s="4">
        <v>12</v>
      </c>
      <c r="H12" s="5" t="s">
        <v>27</v>
      </c>
      <c r="I12" t="str">
        <f t="shared" si="0"/>
        <v>FF ?? F9 *</v>
      </c>
      <c r="J12" s="5" t="s">
        <v>50</v>
      </c>
      <c r="K12" s="5" t="s">
        <v>51</v>
      </c>
    </row>
    <row r="13" spans="6:11">
      <c r="F13" t="s">
        <v>38</v>
      </c>
      <c r="G13" s="4">
        <v>13</v>
      </c>
      <c r="H13" s="5" t="s">
        <v>27</v>
      </c>
      <c r="I13" t="str">
        <f t="shared" si="0"/>
        <v>FF ?? F9 *</v>
      </c>
      <c r="J13" s="5" t="s">
        <v>52</v>
      </c>
      <c r="K13" s="5" t="s">
        <v>53</v>
      </c>
    </row>
    <row r="14" spans="6:11">
      <c r="F14" t="s">
        <v>54</v>
      </c>
      <c r="G14" s="4">
        <v>14</v>
      </c>
      <c r="H14" s="5" t="s">
        <v>27</v>
      </c>
      <c r="I14" t="str">
        <f t="shared" si="0"/>
        <v>FF ?? F9 *</v>
      </c>
      <c r="J14" s="5" t="s">
        <v>55</v>
      </c>
      <c r="K14" s="5" t="s">
        <v>56</v>
      </c>
    </row>
    <row r="15" spans="6:11">
      <c r="F15" t="s">
        <v>57</v>
      </c>
      <c r="G15" s="4">
        <v>15</v>
      </c>
      <c r="H15" t="s">
        <v>31</v>
      </c>
      <c r="I15" t="str">
        <f t="shared" si="0"/>
        <v>FF ?? E9 *</v>
      </c>
      <c r="J15" t="s">
        <v>58</v>
      </c>
      <c r="K15" s="5" t="s">
        <v>59</v>
      </c>
    </row>
    <row r="16" spans="6:11">
      <c r="F16" s="5" t="s">
        <v>60</v>
      </c>
      <c r="G16" s="4">
        <v>16</v>
      </c>
      <c r="H16" t="s">
        <v>43</v>
      </c>
      <c r="I16" t="str">
        <f t="shared" si="0"/>
        <v>FF ?? F2 *</v>
      </c>
      <c r="J16" t="s">
        <v>61</v>
      </c>
      <c r="K16" s="5" t="s">
        <v>62</v>
      </c>
    </row>
    <row r="17" spans="6:11">
      <c r="F17" s="5" t="s">
        <v>63</v>
      </c>
      <c r="G17" s="4">
        <v>17</v>
      </c>
      <c r="H17" t="s">
        <v>47</v>
      </c>
      <c r="I17" t="str">
        <f t="shared" si="0"/>
        <v>FF ?? E2 *</v>
      </c>
      <c r="J17" t="s">
        <v>64</v>
      </c>
      <c r="K17" s="2" t="s">
        <v>65</v>
      </c>
    </row>
    <row r="18" spans="6:11">
      <c r="F18" s="5" t="s">
        <v>66</v>
      </c>
      <c r="G18" s="4">
        <v>18</v>
      </c>
      <c r="H18" t="s">
        <v>43</v>
      </c>
      <c r="I18" t="str">
        <f t="shared" si="0"/>
        <v>FF ?? F2 *</v>
      </c>
      <c r="J18" t="s">
        <v>67</v>
      </c>
      <c r="K18" t="s">
        <v>68</v>
      </c>
    </row>
    <row r="19" spans="6:11">
      <c r="F19" s="5" t="s">
        <v>69</v>
      </c>
      <c r="G19" s="4">
        <v>19</v>
      </c>
      <c r="H19" t="s">
        <v>47</v>
      </c>
      <c r="I19" t="str">
        <f t="shared" si="0"/>
        <v>FF ?? E2 *</v>
      </c>
      <c r="J19" t="s">
        <v>70</v>
      </c>
      <c r="K19" s="2" t="s">
        <v>71</v>
      </c>
    </row>
    <row r="20" spans="6:11">
      <c r="F20" t="s">
        <v>72</v>
      </c>
      <c r="G20" s="4">
        <v>20</v>
      </c>
      <c r="H20" t="s">
        <v>27</v>
      </c>
      <c r="I20" t="str">
        <f t="shared" si="0"/>
        <v>FF ?? F9 *</v>
      </c>
      <c r="J20" t="s">
        <v>73</v>
      </c>
      <c r="K20" t="s">
        <v>74</v>
      </c>
    </row>
    <row r="21" spans="6:11">
      <c r="F21" t="s">
        <v>75</v>
      </c>
      <c r="G21" s="4">
        <v>21</v>
      </c>
      <c r="H21" t="s">
        <v>31</v>
      </c>
      <c r="I21" t="str">
        <f t="shared" si="0"/>
        <v>FF ?? E9 *</v>
      </c>
      <c r="J21" t="s">
        <v>76</v>
      </c>
      <c r="K21" t="s">
        <v>77</v>
      </c>
    </row>
    <row r="22" spans="6:11">
      <c r="F22" t="s">
        <v>78</v>
      </c>
      <c r="G22" s="4">
        <v>22</v>
      </c>
      <c r="H22" t="s">
        <v>43</v>
      </c>
      <c r="I22" t="str">
        <f t="shared" si="0"/>
        <v>FF ?? F2 *</v>
      </c>
      <c r="J22" t="s">
        <v>79</v>
      </c>
      <c r="K22" t="s">
        <v>68</v>
      </c>
    </row>
    <row r="23" spans="6:11">
      <c r="F23" t="s">
        <v>80</v>
      </c>
      <c r="G23" s="4">
        <v>23</v>
      </c>
      <c r="H23" t="s">
        <v>47</v>
      </c>
      <c r="I23" t="str">
        <f t="shared" si="0"/>
        <v>FF ?? E2 *</v>
      </c>
      <c r="J23" t="s">
        <v>81</v>
      </c>
      <c r="K23" t="s">
        <v>82</v>
      </c>
    </row>
    <row r="24" customFormat="1" spans="6:10">
      <c r="F24" t="s">
        <v>83</v>
      </c>
      <c r="G24" s="4">
        <v>24</v>
      </c>
      <c r="H24" t="s">
        <v>27</v>
      </c>
      <c r="I24" t="str">
        <f t="shared" si="0"/>
        <v>FF ?? F9 *</v>
      </c>
      <c r="J24" t="s">
        <v>84</v>
      </c>
    </row>
    <row r="25" spans="6:11">
      <c r="F25" t="s">
        <v>85</v>
      </c>
      <c r="G25" s="4">
        <v>25</v>
      </c>
      <c r="H25" t="s">
        <v>31</v>
      </c>
      <c r="I25" t="str">
        <f t="shared" si="0"/>
        <v>FF ?? E9 *</v>
      </c>
      <c r="J25" t="s">
        <v>86</v>
      </c>
      <c r="K25" t="s">
        <v>87</v>
      </c>
    </row>
    <row r="26" spans="6:11">
      <c r="F26" t="s">
        <v>88</v>
      </c>
      <c r="G26" s="4">
        <v>26</v>
      </c>
      <c r="H26" t="s">
        <v>43</v>
      </c>
      <c r="I26" t="str">
        <f t="shared" si="0"/>
        <v>FF ?? F2 *</v>
      </c>
      <c r="J26" t="s">
        <v>89</v>
      </c>
      <c r="K26" t="s">
        <v>90</v>
      </c>
    </row>
    <row r="27" spans="6:11">
      <c r="F27" t="s">
        <v>38</v>
      </c>
      <c r="G27" s="4">
        <v>27</v>
      </c>
      <c r="H27" t="s">
        <v>47</v>
      </c>
      <c r="I27" t="str">
        <f t="shared" si="0"/>
        <v>FF ?? E2 *</v>
      </c>
      <c r="J27" t="s">
        <v>91</v>
      </c>
      <c r="K27" t="s">
        <v>92</v>
      </c>
    </row>
    <row r="28" spans="7:11">
      <c r="G28" s="4">
        <v>28</v>
      </c>
      <c r="H28" t="s">
        <v>43</v>
      </c>
      <c r="I28" t="str">
        <f t="shared" si="0"/>
        <v>FF ?? F2 *</v>
      </c>
      <c r="J28" t="s">
        <v>93</v>
      </c>
      <c r="K28" t="s">
        <v>94</v>
      </c>
    </row>
    <row r="29" spans="7:11">
      <c r="G29" s="4">
        <v>29</v>
      </c>
      <c r="H29" t="s">
        <v>43</v>
      </c>
      <c r="I29" t="str">
        <f t="shared" si="0"/>
        <v>FF ?? F2 *</v>
      </c>
      <c r="J29" t="s">
        <v>95</v>
      </c>
      <c r="K29" t="s">
        <v>96</v>
      </c>
    </row>
    <row r="30" spans="7:11">
      <c r="G30" s="4">
        <v>30</v>
      </c>
      <c r="H30" t="s">
        <v>47</v>
      </c>
      <c r="I30" t="str">
        <f t="shared" si="0"/>
        <v>FF ?? E2 *</v>
      </c>
      <c r="J30" t="s">
        <v>97</v>
      </c>
      <c r="K30" t="s">
        <v>98</v>
      </c>
    </row>
    <row r="31" spans="7:11">
      <c r="G31" s="4">
        <v>31</v>
      </c>
      <c r="H31" t="s">
        <v>99</v>
      </c>
      <c r="I31" t="str">
        <f t="shared" si="0"/>
        <v>FF ?? D0 *</v>
      </c>
      <c r="J31" t="s">
        <v>100</v>
      </c>
      <c r="K31" t="s">
        <v>101</v>
      </c>
    </row>
    <row r="32" customFormat="1" spans="7:11">
      <c r="G32" s="4">
        <v>32</v>
      </c>
      <c r="H32" t="s">
        <v>102</v>
      </c>
      <c r="I32" t="str">
        <f t="shared" si="0"/>
        <v>FF ?? 4C *</v>
      </c>
      <c r="J32" t="s">
        <v>103</v>
      </c>
      <c r="K32" t="s">
        <v>104</v>
      </c>
    </row>
    <row r="33" customFormat="1" spans="7:11">
      <c r="G33" s="4">
        <v>33</v>
      </c>
      <c r="H33" t="s">
        <v>39</v>
      </c>
      <c r="I33" t="str">
        <f t="shared" si="0"/>
        <v>FF ?? E1 *</v>
      </c>
      <c r="J33" t="s">
        <v>105</v>
      </c>
      <c r="K33" t="s">
        <v>41</v>
      </c>
    </row>
    <row r="34" customFormat="1" spans="7:11">
      <c r="G34" s="4">
        <v>34</v>
      </c>
      <c r="H34" t="s">
        <v>47</v>
      </c>
      <c r="I34" t="str">
        <f t="shared" si="0"/>
        <v>FF ?? E2 *</v>
      </c>
      <c r="J34" t="s">
        <v>106</v>
      </c>
      <c r="K34" t="s">
        <v>98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Administrator</cp:lastModifiedBy>
  <dcterms:created xsi:type="dcterms:W3CDTF">2018-02-27T11:14:00Z</dcterms:created>
  <dcterms:modified xsi:type="dcterms:W3CDTF">2018-09-21T08:49:34Z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